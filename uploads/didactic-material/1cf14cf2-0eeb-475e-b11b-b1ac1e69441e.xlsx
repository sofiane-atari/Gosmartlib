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nge\Downloads\"/>
    </mc:Choice>
  </mc:AlternateContent>
  <xr:revisionPtr revIDLastSave="0" documentId="13_ncr:1_{8A3582BC-C9C7-410A-B659-F48FE1DE4A99}" xr6:coauthVersionLast="47" xr6:coauthVersionMax="47" xr10:uidLastSave="{00000000-0000-0000-0000-000000000000}"/>
  <bookViews>
    <workbookView xWindow="34452" yWindow="-108" windowWidth="30936" windowHeight="16776" activeTab="2" xr2:uid="{00000000-000D-0000-FFFF-FFFF00000000}"/>
  </bookViews>
  <sheets>
    <sheet name="Financieel plan Argus AI" sheetId="1" r:id="rId1"/>
    <sheet name="Meerjarenplan" sheetId="3" r:id="rId2"/>
    <sheet name="CAC &amp; LTV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4" i="1"/>
  <c r="B12" i="1" s="1"/>
  <c r="B17" i="3"/>
  <c r="D9" i="3"/>
  <c r="C9" i="3"/>
  <c r="D5" i="3"/>
  <c r="D12" i="3" s="1"/>
  <c r="D17" i="3" s="1"/>
  <c r="C5" i="3"/>
  <c r="C12" i="3" s="1"/>
  <c r="C17" i="3" s="1"/>
  <c r="B5" i="3"/>
</calcChain>
</file>

<file path=xl/sharedStrings.xml><?xml version="1.0" encoding="utf-8"?>
<sst xmlns="http://schemas.openxmlformats.org/spreadsheetml/2006/main" count="54" uniqueCount="53">
  <si>
    <t>Post</t>
  </si>
  <si>
    <t>Toelichting</t>
  </si>
  <si>
    <t>Investering: Setup</t>
  </si>
  <si>
    <t>Investering: Licentie</t>
  </si>
  <si>
    <t>Opbrengst: Schikkingen</t>
  </si>
  <si>
    <t>Opbrengst: Geredde waar</t>
  </si>
  <si>
    <t>Besparing: Verzekering</t>
  </si>
  <si>
    <t>Besparing: Preventie</t>
  </si>
  <si>
    <t>NETTO RESULTAAT</t>
  </si>
  <si>
    <t>EBITDA (Winst)</t>
  </si>
  <si>
    <t>Aantal winkels</t>
  </si>
  <si>
    <t>Jaar 3 (Scale)</t>
  </si>
  <si>
    <t>Jaar 2 (Growth)</t>
  </si>
  <si>
    <t>Jaar 1 (Pilot)</t>
  </si>
  <si>
    <t>Categorie</t>
  </si>
  <si>
    <t>Winkels via Securitas</t>
  </si>
  <si>
    <t>BRUTO OMZET</t>
  </si>
  <si>
    <t>Direct (€ 850/m + setup)</t>
  </si>
  <si>
    <t>Partner (€ 850/m + setup)</t>
  </si>
  <si>
    <t>PARTNER COMMISSIE</t>
  </si>
  <si>
    <t>(Fee aan Securitas)</t>
  </si>
  <si>
    <t>Geen partners</t>
  </si>
  <si>
    <t>€ 350/m per partnerwinkel</t>
  </si>
  <si>
    <t>NETTO OMZET</t>
  </si>
  <si>
    <t>OVERIGE KOSTEN</t>
  </si>
  <si>
    <t>Cloud, R&amp;D, Direct Sales</t>
  </si>
  <si>
    <t>Bedrag</t>
  </si>
  <si>
    <t>Eenmalig</t>
  </si>
  <si>
    <t>€ 850 x 12 maanden</t>
  </si>
  <si>
    <t>TOTALE KOSTEN (A)</t>
  </si>
  <si>
    <t>100 dieven x € 181 x 70%</t>
  </si>
  <si>
    <t>100 dieven x € 35</t>
  </si>
  <si>
    <t>15% korting</t>
  </si>
  <si>
    <t>20% van € 45.000 verlies</t>
  </si>
  <si>
    <t>TOTALE VOORDEEL</t>
  </si>
  <si>
    <t>Onderdeel</t>
  </si>
  <si>
    <t>Cijfer</t>
  </si>
  <si>
    <t>Formule / Toelichting</t>
  </si>
  <si>
    <t>Maandelijkse Omzet (ARPU)</t>
  </si>
  <si>
    <t>Klantlevensduur</t>
  </si>
  <si>
    <t>12 mnd</t>
  </si>
  <si>
    <t>Gemiddelde duur van het contract</t>
  </si>
  <si>
    <t>Lifetime Value (LTV)</t>
  </si>
  <si>
    <t>€ 700 x 12 maanden</t>
  </si>
  <si>
    <t>Totale Acquisitiekosten</t>
  </si>
  <si>
    <t>Ads, sales uren, demo's, etc.</t>
  </si>
  <si>
    <t>Aantal nieuwe klanten</t>
  </si>
  <si>
    <t>Conversie uit de bovenstaande kosten</t>
  </si>
  <si>
    <t>€ 3.000 / 2 klanten</t>
  </si>
  <si>
    <t xml:space="preserve">CAC </t>
  </si>
  <si>
    <t>€ 300 platform kost + (10 camera's x € 40)</t>
  </si>
  <si>
    <t>Gemiddeld bedrijf met 10 camera's</t>
  </si>
  <si>
    <t>LTV:CAC ratio = 5.6x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</si>
</sst>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.##0;[Red]\-[$€-2]\ #.##0"/>
    <numFmt numFmtId="169" formatCode="[$€-2]\ #,##0;[Red]\-[$€-2]\ #,##0"/>
    <numFmt numFmtId="170" formatCode="[$€-2]\ #,##0.00;[Red]\-[$€-2]\ #,##0.00"/>
  </numFmts>
  <fonts count="7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/>
    <xf numFmtId="0" fontId="2" fillId="2" borderId="2" xfId="0" applyFont="1" applyFill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2" borderId="4" xfId="0" applyFont="1" applyFill="1" applyBorder="1" applyAlignment="1">
      <alignment horizontal="left" vertical="center" wrapText="1" indent="1" readingOrder="1"/>
    </xf>
    <xf numFmtId="0" fontId="2" fillId="3" borderId="5" xfId="0" applyFont="1" applyFill="1" applyBorder="1" applyAlignment="1">
      <alignment horizontal="left" vertical="center" wrapText="1" indent="1" readingOrder="1"/>
    </xf>
    <xf numFmtId="2" fontId="1" fillId="3" borderId="1" xfId="0" applyNumberFormat="1" applyFont="1" applyFill="1" applyBorder="1" applyAlignment="1">
      <alignment horizontal="left" vertical="center" wrapText="1" indent="1" readingOrder="1"/>
    </xf>
    <xf numFmtId="0" fontId="1" fillId="3" borderId="6" xfId="0" applyFont="1" applyFill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2" fontId="1" fillId="0" borderId="1" xfId="0" applyNumberFormat="1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164" fontId="1" fillId="0" borderId="6" xfId="0" applyNumberFormat="1" applyFont="1" applyBorder="1" applyAlignment="1">
      <alignment horizontal="left" vertical="center" wrapText="1" indent="1" readingOrder="1"/>
    </xf>
    <xf numFmtId="164" fontId="1" fillId="3" borderId="6" xfId="0" applyNumberFormat="1" applyFont="1" applyFill="1" applyBorder="1" applyAlignment="1">
      <alignment horizontal="left" vertical="center" wrapText="1" indent="1" readingOrder="1"/>
    </xf>
    <xf numFmtId="164" fontId="5" fillId="0" borderId="6" xfId="0" applyNumberFormat="1" applyFont="1" applyBorder="1" applyAlignment="1">
      <alignment horizontal="left" vertical="center" wrapText="1" indent="1" readingOrder="1"/>
    </xf>
    <xf numFmtId="2" fontId="0" fillId="0" borderId="1" xfId="0" applyNumberFormat="1" applyBorder="1"/>
    <xf numFmtId="0" fontId="0" fillId="0" borderId="6" xfId="0" applyBorder="1"/>
    <xf numFmtId="0" fontId="0" fillId="0" borderId="5" xfId="0" applyBorder="1"/>
    <xf numFmtId="0" fontId="3" fillId="0" borderId="7" xfId="0" applyFont="1" applyBorder="1"/>
    <xf numFmtId="2" fontId="0" fillId="0" borderId="8" xfId="0" applyNumberFormat="1" applyBorder="1"/>
    <xf numFmtId="0" fontId="0" fillId="0" borderId="9" xfId="0" applyBorder="1"/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vertical="center" wrapText="1" readingOrder="1"/>
    </xf>
    <xf numFmtId="164" fontId="1" fillId="0" borderId="1" xfId="0" applyNumberFormat="1" applyFont="1" applyBorder="1" applyAlignment="1">
      <alignment horizontal="left" vertical="center" wrapText="1" indent="1" readingOrder="1"/>
    </xf>
    <xf numFmtId="164" fontId="1" fillId="0" borderId="6" xfId="0" applyNumberFormat="1" applyFont="1" applyBorder="1" applyAlignment="1">
      <alignment vertical="center" wrapText="1" readingOrder="1"/>
    </xf>
    <xf numFmtId="164" fontId="4" fillId="0" borderId="1" xfId="0" applyNumberFormat="1" applyFont="1" applyBorder="1" applyAlignment="1">
      <alignment horizontal="left" vertical="center" wrapText="1" indent="1" readingOrder="1"/>
    </xf>
    <xf numFmtId="164" fontId="4" fillId="0" borderId="6" xfId="0" applyNumberFormat="1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164" fontId="1" fillId="0" borderId="8" xfId="0" applyNumberFormat="1" applyFont="1" applyBorder="1" applyAlignment="1">
      <alignment horizontal="left" vertical="center" wrapText="1" indent="1" readingOrder="1"/>
    </xf>
    <xf numFmtId="164" fontId="1" fillId="0" borderId="9" xfId="0" applyNumberFormat="1" applyFont="1" applyBorder="1" applyAlignment="1">
      <alignment horizontal="left" vertical="center" wrapText="1" indent="1" readingOrder="1"/>
    </xf>
    <xf numFmtId="2" fontId="4" fillId="3" borderId="1" xfId="0" applyNumberFormat="1" applyFont="1" applyFill="1" applyBorder="1" applyAlignment="1">
      <alignment horizontal="left" vertical="center" wrapText="1" indent="1" readingOrder="1"/>
    </xf>
    <xf numFmtId="2" fontId="4" fillId="0" borderId="1" xfId="0" applyNumberFormat="1" applyFont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 wrapText="1" readingOrder="1"/>
    </xf>
    <xf numFmtId="169" fontId="2" fillId="0" borderId="0" xfId="0" applyNumberFormat="1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170" fontId="2" fillId="0" borderId="0" xfId="0" applyNumberFormat="1" applyFont="1" applyAlignment="1">
      <alignment vertical="center" wrapText="1" readingOrder="1"/>
    </xf>
    <xf numFmtId="0" fontId="3" fillId="0" borderId="0" xfId="0" applyFont="1"/>
    <xf numFmtId="0" fontId="6" fillId="0" borderId="0" xfId="0" applyFont="1"/>
  </cellXfs>
  <cellStyles count="1">
    <cellStyle name="Standaard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family val="2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1C32B2-45B6-4639-8F83-6C87271E82B8}" name="Tabel3" displayName="Tabel3" ref="A1:C12" totalsRowShown="0" headerRowDxfId="15" headerRowBorderDxfId="14" tableBorderDxfId="13" totalsRowBorderDxfId="12">
  <autoFilter ref="A1:C12" xr:uid="{B51C32B2-45B6-4639-8F83-6C87271E82B8}"/>
  <tableColumns count="3">
    <tableColumn id="1" xr3:uid="{F4685902-5783-4778-9A77-A7337C7ABCC8}" name="Post" dataDxfId="11"/>
    <tableColumn id="2" xr3:uid="{CDA3522C-4C00-4306-AAA2-19ABA5D0D5F8}" name="Bedrag" dataDxfId="10"/>
    <tableColumn id="3" xr3:uid="{E373A964-22B4-42F0-94D6-C2052B237CB0}" name="Toelichting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BE1F85-41EA-4D8C-BCC5-7EF82A66D7FD}" name="Tabel2" displayName="Tabel2" ref="A1:D17" totalsRowShown="0" headerRowDxfId="8" dataDxfId="6" headerRowBorderDxfId="7" tableBorderDxfId="5" totalsRowBorderDxfId="4">
  <autoFilter ref="A1:D17" xr:uid="{0ABE1F85-41EA-4D8C-BCC5-7EF82A66D7FD}"/>
  <tableColumns count="4">
    <tableColumn id="1" xr3:uid="{24CDE978-C3AC-4E6A-A631-4054A4E8AB1D}" name="Categorie" dataDxfId="3"/>
    <tableColumn id="2" xr3:uid="{1F209A8C-0AE1-41D4-A2CC-B4B9FBB62AF8}" name="Jaar 1 (Pilot)" dataDxfId="2"/>
    <tableColumn id="3" xr3:uid="{D6F6C369-BE09-4531-A450-6809289BA03F}" name="Jaar 2 (Growth)" dataDxfId="1"/>
    <tableColumn id="4" xr3:uid="{ACEC600F-C4B1-476E-89F1-9ECD4AC12AE5}" name="Jaar 3 (Scal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"/>
  <sheetViews>
    <sheetView workbookViewId="0">
      <selection activeCell="B17" sqref="B17"/>
    </sheetView>
  </sheetViews>
  <sheetFormatPr defaultColWidth="12.59765625" defaultRowHeight="15.75" customHeight="1" x14ac:dyDescent="0.35"/>
  <cols>
    <col min="1" max="1" width="33" customWidth="1"/>
    <col min="2" max="2" width="16.3984375" bestFit="1" customWidth="1"/>
    <col min="3" max="3" width="32.59765625" bestFit="1" customWidth="1"/>
  </cols>
  <sheetData>
    <row r="1" spans="1:3" ht="13.15" x14ac:dyDescent="0.35">
      <c r="A1" s="2" t="s">
        <v>0</v>
      </c>
      <c r="B1" s="3" t="s">
        <v>26</v>
      </c>
      <c r="C1" s="4" t="s">
        <v>1</v>
      </c>
    </row>
    <row r="2" spans="1:3" ht="19.5" customHeight="1" x14ac:dyDescent="0.35">
      <c r="A2" s="5" t="s">
        <v>2</v>
      </c>
      <c r="B2" s="32">
        <v>1250</v>
      </c>
      <c r="C2" s="7" t="s">
        <v>27</v>
      </c>
    </row>
    <row r="3" spans="1:3" ht="19.5" customHeight="1" x14ac:dyDescent="0.35">
      <c r="A3" s="8" t="s">
        <v>3</v>
      </c>
      <c r="B3" s="33">
        <v>10200</v>
      </c>
      <c r="C3" s="10" t="s">
        <v>28</v>
      </c>
    </row>
    <row r="4" spans="1:3" ht="19.5" customHeight="1" x14ac:dyDescent="0.35">
      <c r="A4" s="5" t="s">
        <v>29</v>
      </c>
      <c r="B4" s="32">
        <f>B2+B3</f>
        <v>11450</v>
      </c>
      <c r="C4" s="7"/>
    </row>
    <row r="5" spans="1:3" ht="19.5" customHeight="1" x14ac:dyDescent="0.35">
      <c r="A5" s="8"/>
      <c r="B5" s="9"/>
      <c r="C5" s="11"/>
    </row>
    <row r="6" spans="1:3" ht="19.5" customHeight="1" x14ac:dyDescent="0.35">
      <c r="A6" s="5" t="s">
        <v>4</v>
      </c>
      <c r="B6" s="6">
        <v>12670</v>
      </c>
      <c r="C6" s="12" t="s">
        <v>30</v>
      </c>
    </row>
    <row r="7" spans="1:3" ht="19.5" customHeight="1" x14ac:dyDescent="0.35">
      <c r="A7" s="8" t="s">
        <v>5</v>
      </c>
      <c r="B7" s="9">
        <v>3500</v>
      </c>
      <c r="C7" s="11" t="s">
        <v>31</v>
      </c>
    </row>
    <row r="8" spans="1:3" ht="19.5" customHeight="1" x14ac:dyDescent="0.35">
      <c r="A8" s="5" t="s">
        <v>6</v>
      </c>
      <c r="B8" s="6">
        <v>1200</v>
      </c>
      <c r="C8" s="7" t="s">
        <v>32</v>
      </c>
    </row>
    <row r="9" spans="1:3" ht="19.5" customHeight="1" x14ac:dyDescent="0.35">
      <c r="A9" s="8" t="s">
        <v>7</v>
      </c>
      <c r="B9" s="9">
        <v>9000</v>
      </c>
      <c r="C9" s="13" t="s">
        <v>33</v>
      </c>
    </row>
    <row r="10" spans="1:3" ht="13.15" x14ac:dyDescent="0.35">
      <c r="A10" s="5" t="s">
        <v>34</v>
      </c>
      <c r="B10" s="14">
        <f>B6+B7+B8+B9</f>
        <v>26370</v>
      </c>
      <c r="C10" s="15"/>
    </row>
    <row r="11" spans="1:3" ht="15.75" customHeight="1" x14ac:dyDescent="0.35">
      <c r="A11" s="16"/>
      <c r="B11" s="14"/>
      <c r="C11" s="15"/>
    </row>
    <row r="12" spans="1:3" ht="15.75" customHeight="1" x14ac:dyDescent="0.35">
      <c r="A12" s="17" t="s">
        <v>8</v>
      </c>
      <c r="B12" s="18">
        <f>B10-B4</f>
        <v>14920</v>
      </c>
      <c r="C12" s="19"/>
    </row>
    <row r="13" spans="1:3" ht="15.75" customHeight="1" x14ac:dyDescent="0.35">
      <c r="B1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5DEC-FAAA-43B0-8363-8DBD07D744BD}">
  <sheetPr>
    <outlinePr summaryBelow="0" summaryRight="0"/>
  </sheetPr>
  <dimension ref="A1:D35"/>
  <sheetViews>
    <sheetView workbookViewId="0">
      <selection activeCell="D6" sqref="D6"/>
    </sheetView>
  </sheetViews>
  <sheetFormatPr defaultColWidth="12.59765625" defaultRowHeight="15.75" customHeight="1" x14ac:dyDescent="0.35"/>
  <cols>
    <col min="1" max="1" width="25.73046875" bestFit="1" customWidth="1"/>
    <col min="2" max="2" width="16.59765625" bestFit="1" customWidth="1"/>
    <col min="3" max="3" width="24.3984375" bestFit="1" customWidth="1"/>
    <col min="4" max="4" width="22.73046875" bestFit="1" customWidth="1"/>
  </cols>
  <sheetData>
    <row r="1" spans="1:4" ht="18" customHeight="1" x14ac:dyDescent="0.35">
      <c r="A1" s="20" t="s">
        <v>14</v>
      </c>
      <c r="B1" s="21" t="s">
        <v>13</v>
      </c>
      <c r="C1" s="21" t="s">
        <v>12</v>
      </c>
      <c r="D1" s="22" t="s">
        <v>11</v>
      </c>
    </row>
    <row r="2" spans="1:4" ht="18" customHeight="1" x14ac:dyDescent="0.35">
      <c r="A2" s="8" t="s">
        <v>10</v>
      </c>
      <c r="B2" s="23">
        <v>50</v>
      </c>
      <c r="C2" s="23">
        <v>150</v>
      </c>
      <c r="D2" s="24">
        <v>450</v>
      </c>
    </row>
    <row r="3" spans="1:4" ht="18" customHeight="1" x14ac:dyDescent="0.35">
      <c r="A3" s="8" t="s">
        <v>15</v>
      </c>
      <c r="B3" s="23">
        <v>0</v>
      </c>
      <c r="C3" s="23">
        <v>75</v>
      </c>
      <c r="D3" s="24">
        <v>350</v>
      </c>
    </row>
    <row r="4" spans="1:4" ht="18" customHeight="1" x14ac:dyDescent="0.35">
      <c r="A4" s="8"/>
      <c r="B4" s="23"/>
      <c r="C4" s="23"/>
      <c r="D4" s="24"/>
    </row>
    <row r="5" spans="1:4" ht="18" customHeight="1" x14ac:dyDescent="0.35">
      <c r="A5" s="8" t="s">
        <v>16</v>
      </c>
      <c r="B5" s="25">
        <f>B6+B7</f>
        <v>419500</v>
      </c>
      <c r="C5" s="25">
        <f>C6+C7</f>
        <v>1542500</v>
      </c>
      <c r="D5" s="11">
        <f>D6+D7</f>
        <v>4607500</v>
      </c>
    </row>
    <row r="6" spans="1:4" ht="18" customHeight="1" x14ac:dyDescent="0.35">
      <c r="A6" s="8" t="s">
        <v>17</v>
      </c>
      <c r="B6" s="25">
        <v>419500</v>
      </c>
      <c r="C6" s="25">
        <v>727500</v>
      </c>
      <c r="D6" s="26">
        <v>975000</v>
      </c>
    </row>
    <row r="7" spans="1:4" ht="18" customHeight="1" x14ac:dyDescent="0.35">
      <c r="A7" s="8" t="s">
        <v>18</v>
      </c>
      <c r="B7" s="25">
        <v>0</v>
      </c>
      <c r="C7" s="25">
        <v>815000</v>
      </c>
      <c r="D7" s="26">
        <v>3632500</v>
      </c>
    </row>
    <row r="8" spans="1:4" ht="18" customHeight="1" x14ac:dyDescent="0.35">
      <c r="A8" s="8"/>
      <c r="B8" s="23"/>
      <c r="C8" s="23"/>
      <c r="D8" s="24"/>
    </row>
    <row r="9" spans="1:4" ht="18" customHeight="1" x14ac:dyDescent="0.35">
      <c r="A9" s="8" t="s">
        <v>19</v>
      </c>
      <c r="B9" s="25">
        <v>0</v>
      </c>
      <c r="C9" s="27">
        <f>(350*C3)*12</f>
        <v>315000</v>
      </c>
      <c r="D9" s="28">
        <f>(350*D3)*12</f>
        <v>1470000</v>
      </c>
    </row>
    <row r="10" spans="1:4" ht="18" customHeight="1" x14ac:dyDescent="0.35">
      <c r="A10" s="8" t="s">
        <v>20</v>
      </c>
      <c r="B10" s="23" t="s">
        <v>21</v>
      </c>
      <c r="C10" s="23" t="s">
        <v>22</v>
      </c>
      <c r="D10" s="24" t="s">
        <v>22</v>
      </c>
    </row>
    <row r="11" spans="1:4" ht="18" customHeight="1" x14ac:dyDescent="0.35">
      <c r="A11" s="8"/>
      <c r="B11" s="23"/>
      <c r="C11" s="23"/>
      <c r="D11" s="24"/>
    </row>
    <row r="12" spans="1:4" ht="18" customHeight="1" x14ac:dyDescent="0.35">
      <c r="A12" s="8" t="s">
        <v>23</v>
      </c>
      <c r="B12" s="25">
        <v>419500</v>
      </c>
      <c r="C12" s="25">
        <f>C5-C9</f>
        <v>1227500</v>
      </c>
      <c r="D12" s="11">
        <f>D5-D9</f>
        <v>3137500</v>
      </c>
    </row>
    <row r="13" spans="1:4" ht="18" customHeight="1" x14ac:dyDescent="0.35">
      <c r="A13" s="8"/>
      <c r="B13" s="23"/>
      <c r="C13" s="23"/>
      <c r="D13" s="24"/>
    </row>
    <row r="14" spans="1:4" ht="18" customHeight="1" x14ac:dyDescent="0.35">
      <c r="A14" s="8" t="s">
        <v>24</v>
      </c>
      <c r="B14" s="27">
        <v>420000</v>
      </c>
      <c r="C14" s="27">
        <v>790000</v>
      </c>
      <c r="D14" s="28">
        <v>1830000</v>
      </c>
    </row>
    <row r="15" spans="1:4" ht="18" customHeight="1" x14ac:dyDescent="0.35">
      <c r="A15" s="8" t="s">
        <v>25</v>
      </c>
      <c r="B15" s="23"/>
      <c r="C15" s="23"/>
      <c r="D15" s="24"/>
    </row>
    <row r="16" spans="1:4" ht="18" customHeight="1" x14ac:dyDescent="0.35">
      <c r="A16" s="8"/>
      <c r="B16" s="23"/>
      <c r="C16" s="23"/>
      <c r="D16" s="24"/>
    </row>
    <row r="17" spans="1:4" ht="18" customHeight="1" x14ac:dyDescent="0.35">
      <c r="A17" s="29" t="s">
        <v>9</v>
      </c>
      <c r="B17" s="30">
        <f>B12-B14</f>
        <v>-500</v>
      </c>
      <c r="C17" s="30">
        <f t="shared" ref="C17:D17" si="0">C12-C14</f>
        <v>437500</v>
      </c>
      <c r="D17" s="31">
        <f t="shared" si="0"/>
        <v>1307500</v>
      </c>
    </row>
    <row r="22" spans="1:4" ht="12.75" x14ac:dyDescent="0.35"/>
    <row r="23" spans="1:4" ht="12.75" x14ac:dyDescent="0.35"/>
    <row r="25" spans="1:4" ht="12.75" x14ac:dyDescent="0.35"/>
    <row r="26" spans="1:4" ht="12.75" x14ac:dyDescent="0.35"/>
    <row r="27" spans="1:4" ht="12.75" x14ac:dyDescent="0.35"/>
    <row r="28" spans="1:4" ht="12.75" x14ac:dyDescent="0.35"/>
    <row r="29" spans="1:4" ht="12.75" x14ac:dyDescent="0.35"/>
    <row r="30" spans="1:4" ht="12.75" x14ac:dyDescent="0.35"/>
    <row r="35" ht="12.75" x14ac:dyDescent="0.3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2448-9EB9-41F6-910D-0E85FA2442A9}">
  <dimension ref="B5:E14"/>
  <sheetViews>
    <sheetView tabSelected="1" topLeftCell="A4" workbookViewId="0">
      <selection activeCell="E17" sqref="E17"/>
    </sheetView>
  </sheetViews>
  <sheetFormatPr defaultRowHeight="12.75" x14ac:dyDescent="0.35"/>
  <cols>
    <col min="2" max="2" width="27.86328125" customWidth="1"/>
    <col min="3" max="3" width="18.33203125" customWidth="1"/>
    <col min="4" max="4" width="21.33203125" customWidth="1"/>
    <col min="5" max="5" width="36.265625" customWidth="1"/>
  </cols>
  <sheetData>
    <row r="5" spans="2:5" x14ac:dyDescent="0.35">
      <c r="B5" s="38" t="s">
        <v>51</v>
      </c>
    </row>
    <row r="6" spans="2:5" ht="52.5" x14ac:dyDescent="0.35">
      <c r="C6" s="34" t="s">
        <v>35</v>
      </c>
      <c r="D6" s="34" t="s">
        <v>36</v>
      </c>
      <c r="E6" s="34" t="s">
        <v>37</v>
      </c>
    </row>
    <row r="7" spans="2:5" ht="26.25" x14ac:dyDescent="0.35">
      <c r="C7" s="34" t="s">
        <v>38</v>
      </c>
      <c r="D7" s="35">
        <v>700</v>
      </c>
      <c r="E7" s="36" t="s">
        <v>50</v>
      </c>
    </row>
    <row r="8" spans="2:5" ht="51" x14ac:dyDescent="0.35">
      <c r="C8" s="34" t="s">
        <v>39</v>
      </c>
      <c r="D8" s="34" t="s">
        <v>40</v>
      </c>
      <c r="E8" s="36" t="s">
        <v>41</v>
      </c>
    </row>
    <row r="9" spans="2:5" ht="26.25" x14ac:dyDescent="0.35">
      <c r="C9" s="34" t="s">
        <v>42</v>
      </c>
      <c r="D9" s="37">
        <v>8400</v>
      </c>
      <c r="E9" s="36" t="s">
        <v>43</v>
      </c>
    </row>
    <row r="10" spans="2:5" ht="26.25" x14ac:dyDescent="0.35">
      <c r="C10" s="34" t="s">
        <v>44</v>
      </c>
      <c r="D10" s="37">
        <v>3000</v>
      </c>
      <c r="E10" s="36" t="s">
        <v>45</v>
      </c>
    </row>
    <row r="11" spans="2:5" ht="26.25" x14ac:dyDescent="0.35">
      <c r="C11" s="34" t="s">
        <v>46</v>
      </c>
      <c r="D11" s="34">
        <v>2</v>
      </c>
      <c r="E11" s="36" t="s">
        <v>47</v>
      </c>
    </row>
    <row r="12" spans="2:5" ht="13.15" x14ac:dyDescent="0.35">
      <c r="C12" s="34" t="s">
        <v>49</v>
      </c>
      <c r="D12" s="37">
        <v>1500</v>
      </c>
      <c r="E12" s="36" t="s">
        <v>48</v>
      </c>
    </row>
    <row r="14" spans="2:5" ht="13.15" x14ac:dyDescent="0.4">
      <c r="E14" s="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Financieel plan Argus AI</vt:lpstr>
      <vt:lpstr>Meerjarenplan</vt:lpstr>
      <vt:lpstr>CAC &amp; LTV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Djafari Kangezi</cp:lastModifiedBy>
  <dcterms:modified xsi:type="dcterms:W3CDTF">2026-04-18T19:07:26Z</dcterms:modified>
</cp:coreProperties>
</file>